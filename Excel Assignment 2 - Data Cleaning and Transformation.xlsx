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isha\Entri Study files\"/>
    </mc:Choice>
  </mc:AlternateContent>
  <xr:revisionPtr revIDLastSave="0" documentId="13_ncr:1_{A5714535-796A-4061-AAC2-76B58E1B6E1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Instructions" sheetId="1" r:id="rId1"/>
    <sheet name="Dataset" sheetId="2" r:id="rId2"/>
    <sheet name="Instructions-Answers ref" sheetId="4" r:id="rId3"/>
    <sheet name="Dataset-Answers" sheetId="3" r:id="rId4"/>
  </sheets>
  <definedNames>
    <definedName name="_xlnm._FilterDatabase" localSheetId="1" hidden="1">Dataset!$A$1:$F$35</definedName>
    <definedName name="_xlnm._FilterDatabase" localSheetId="3" hidden="1">'Dataset-Answers'!$A$1:$P$35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G6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G2" i="3"/>
  <c r="G3" i="3"/>
  <c r="G4" i="3"/>
  <c r="G5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D7" i="3"/>
</calcChain>
</file>

<file path=xl/sharedStrings.xml><?xml version="1.0" encoding="utf-8"?>
<sst xmlns="http://schemas.openxmlformats.org/spreadsheetml/2006/main" count="386" uniqueCount="158">
  <si>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</si>
  <si>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</si>
  <si>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</si>
  <si>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</si>
  <si>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</si>
  <si>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</si>
  <si>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</si>
  <si>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</si>
  <si>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</si>
  <si>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</si>
  <si>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</si>
  <si>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</si>
  <si>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</si>
  <si>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</si>
  <si>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</si>
  <si>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</si>
  <si>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</si>
  <si>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</si>
  <si>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</si>
  <si>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</si>
  <si>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</si>
  <si>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</si>
  <si>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</si>
  <si>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</si>
  <si>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</si>
  <si>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</si>
  <si>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</si>
  <si>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</si>
  <si>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</si>
  <si>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</si>
  <si>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</si>
  <si>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</si>
  <si>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</si>
  <si>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</si>
  <si>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</si>
  <si>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</si>
  <si>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</si>
  <si>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</si>
  <si>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</si>
  <si>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</si>
  <si>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</si>
  <si>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</si>
  <si>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</si>
  <si>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</si>
  <si>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</si>
  <si>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</si>
  <si>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</si>
  <si>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</si>
  <si>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</si>
  <si>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</si>
  <si>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</si>
  <si>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</si>
  <si>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</si>
  <si>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</si>
  <si>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</si>
  <si>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</si>
  <si>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</si>
  <si>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</si>
  <si>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</si>
  <si>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</si>
  <si>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</si>
  <si>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</si>
  <si>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</si>
  <si>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</si>
  <si>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</si>
  <si>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</si>
  <si>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</si>
  <si>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</si>
  <si>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</si>
  <si>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</si>
  <si>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</si>
  <si>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</si>
  <si>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</si>
  <si>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</si>
  <si>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</si>
  <si>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</si>
  <si>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</si>
  <si>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</si>
  <si>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</si>
  <si>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</si>
  <si>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</si>
  <si>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</si>
  <si>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</si>
  <si>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</si>
  <si>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</si>
  <si>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</si>
  <si>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</si>
  <si>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</si>
  <si>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</si>
  <si>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</si>
  <si>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</si>
  <si>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</si>
  <si>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</si>
  <si>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</si>
  <si>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</si>
  <si>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</si>
  <si>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</si>
  <si>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</si>
  <si>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</si>
  <si>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</si>
  <si>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</si>
  <si>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</si>
  <si>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</si>
  <si>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</si>
  <si>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</si>
  <si>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</si>
  <si>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</si>
  <si>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</si>
  <si>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</si>
  <si>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</si>
  <si>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</si>
  <si>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</si>
  <si>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</si>
  <si>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</si>
  <si>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</si>
  <si>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</si>
  <si>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Country Code</t>
  </si>
  <si>
    <t xml:space="preserve"> Manufacturing Date</t>
  </si>
  <si>
    <t>Month</t>
  </si>
  <si>
    <t>Product Brand</t>
  </si>
  <si>
    <t>Answers Reference</t>
  </si>
  <si>
    <t>Dataset-Answers column K</t>
  </si>
  <si>
    <t>Dataset-Answers column H &amp; J, I used Test spit funtion as like this=TEXTSPLIT(A2,"-") and value paste the formula to change the Date in dd/mm/yy format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</si>
  <si>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</si>
  <si>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</si>
  <si>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</si>
  <si>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</si>
  <si>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</si>
  <si>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</si>
  <si>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</si>
  <si>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</si>
  <si>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</si>
  <si>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</si>
  <si>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</si>
  <si>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</si>
  <si>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</si>
  <si>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</si>
  <si>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</si>
  <si>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</si>
  <si>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</si>
  <si>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</si>
  <si>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</si>
  <si>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</si>
  <si>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</si>
  <si>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</si>
  <si>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</si>
  <si>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</si>
  <si>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Used format option</t>
  </si>
  <si>
    <t>Dataset-Answers column D</t>
  </si>
  <si>
    <t>Dataset-Answers column F</t>
  </si>
  <si>
    <t>Data&gt; removed dupicate used</t>
  </si>
  <si>
    <t xml:space="preserve">Electroni changed to  Electronics </t>
  </si>
  <si>
    <t>Yes found as electoni</t>
  </si>
  <si>
    <t>I used average of 2 other similar product, Refer Dataset-Answers column D7</t>
  </si>
  <si>
    <t>Product Name(2)</t>
  </si>
  <si>
    <t>Dataset-Answers column G</t>
  </si>
  <si>
    <t>I find blank replaced with unknown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</si>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</sst>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4" borderId="0" xfId="0" applyFont="1" applyFill="1" applyAlignment="1">
      <alignment horizontal="center"/>
    </xf>
    <xf numFmtId="0" fontId="8" fillId="0" borderId="0" xfId="0" applyFont="1"/>
    <xf numFmtId="0" fontId="10" fillId="5" borderId="0" xfId="0" applyFont="1" applyFill="1"/>
    <xf numFmtId="0" fontId="0" fillId="5" borderId="0" xfId="0" applyFill="1"/>
    <xf numFmtId="0" fontId="5" fillId="5" borderId="0" xfId="0" applyFont="1" applyFill="1"/>
    <xf numFmtId="0" fontId="9" fillId="5" borderId="0" xfId="0" applyFont="1" applyFill="1"/>
    <xf numFmtId="164" fontId="7" fillId="2" borderId="0" xfId="0" applyNumberFormat="1" applyFont="1" applyFill="1" applyAlignment="1">
      <alignment horizontal="center"/>
    </xf>
    <xf numFmtId="164" fontId="0" fillId="0" borderId="0" xfId="0" applyNumberFormat="1"/>
    <xf numFmtId="14" fontId="7" fillId="2" borderId="0" xfId="0" applyNumberFormat="1" applyFont="1" applyFill="1" applyAlignment="1">
      <alignment horizontal="center"/>
    </xf>
    <xf numFmtId="14" fontId="0" fillId="0" borderId="0" xfId="0" applyNumberFormat="1"/>
    <xf numFmtId="0" fontId="8" fillId="5" borderId="0" xfId="0" applyFont="1" applyFill="1"/>
    <xf numFmtId="0" fontId="9" fillId="3" borderId="0" xfId="0" applyFont="1" applyFill="1"/>
    <xf numFmtId="164" fontId="0" fillId="6" borderId="0" xfId="0" applyNumberFormat="1" applyFill="1"/>
    <xf numFmtId="0" fontId="11" fillId="2" borderId="0" xfId="0" applyFont="1" applyFill="1" applyAlignment="1">
      <alignment horizontal="center"/>
    </xf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7">
    <dxf>
      <fill>
        <patternFill patternType="solid">
          <fgColor rgb="FFFDD868"/>
          <bgColor rgb="FF000000"/>
        </patternFill>
      </fill>
    </dxf>
    <dxf>
      <font>
        <color theme="1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K1" sqref="K1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P1000"/>
  <sheetViews>
    <sheetView workbookViewId="0">
      <selection activeCell="H14" sqref="H14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hidden="1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hidden="1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hidden="1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hidden="1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hidden="1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hidden="1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hidden="1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hidden="1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hidden="1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hidden="1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hidden="1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hidden="1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hidden="1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hidden="1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hidden="1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hidden="1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hidden="1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hidden="1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hidden="1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hidden="1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hidden="1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hidden="1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hidden="1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hidden="1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hidden="1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hidden="1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hidden="1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hidden="1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hidden="1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hidden="1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35" xr:uid="{00000000-0001-0000-0100-000000000000}">
    <filterColumn colId="5">
      <filters blank="1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7F8F-8384-4C30-89C7-CFB96D6A0404}">
  <sheetPr>
    <outlinePr summaryBelow="0" summaryRight="0"/>
  </sheetPr>
  <dimension ref="A1:K1000"/>
  <sheetViews>
    <sheetView showGridLines="0" workbookViewId="0">
      <selection activeCell="L8" sqref="L8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  <col min="9" max="9" width="25.109375" customWidth="1"/>
    <col min="10" max="10" width="16.88671875" style="12" customWidth="1"/>
  </cols>
  <sheetData>
    <row r="1" spans="1:11" ht="15.75" customHeight="1" x14ac:dyDescent="0.25">
      <c r="A1" s="1" t="s">
        <v>0</v>
      </c>
      <c r="J1" s="11" t="s">
        <v>120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  <c r="J4" s="19" t="s">
        <v>153</v>
      </c>
    </row>
    <row r="5" spans="1:11" ht="15.75" customHeight="1" x14ac:dyDescent="0.3">
      <c r="B5" s="4"/>
      <c r="C5" s="3" t="s">
        <v>3</v>
      </c>
      <c r="J5" s="19" t="s">
        <v>156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  <c r="J8" s="14" t="s">
        <v>155</v>
      </c>
    </row>
    <row r="9" spans="1:11" ht="15.75" customHeight="1" x14ac:dyDescent="0.3">
      <c r="C9" s="3" t="s">
        <v>6</v>
      </c>
      <c r="J9" s="19" t="s">
        <v>152</v>
      </c>
    </row>
    <row r="10" spans="1:11" ht="15.75" customHeight="1" x14ac:dyDescent="0.3">
      <c r="C10" s="3" t="s">
        <v>7</v>
      </c>
      <c r="J10" s="20" t="s">
        <v>151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  <c r="J13" s="19" t="s">
        <v>150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13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14" t="s">
        <v>122</v>
      </c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14" t="s">
        <v>121</v>
      </c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13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13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14" t="s">
        <v>147</v>
      </c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14" t="s">
        <v>147</v>
      </c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13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13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14" t="s">
        <v>148</v>
      </c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14" t="s">
        <v>149</v>
      </c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13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13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DF4E-9827-4279-8C95-38F2C8F1A5C7}">
  <sheetPr>
    <outlinePr summaryBelow="0" summaryRight="0"/>
  </sheetPr>
  <dimension ref="A1:P1000"/>
  <sheetViews>
    <sheetView tabSelected="1" workbookViewId="0">
      <selection activeCell="G1" sqref="G1"/>
    </sheetView>
  </sheetViews>
  <sheetFormatPr defaultColWidth="12.6640625" defaultRowHeight="15" customHeight="1" x14ac:dyDescent="0.25"/>
  <cols>
    <col min="1" max="3" width="12.6640625" customWidth="1"/>
    <col min="4" max="4" width="12.6640625" style="16" customWidth="1"/>
    <col min="5" max="6" width="12.6640625" customWidth="1"/>
    <col min="7" max="7" width="19.33203125" customWidth="1"/>
    <col min="8" max="8" width="19.109375" style="18" customWidth="1"/>
    <col min="9" max="9" width="0" hidden="1" customWidth="1"/>
  </cols>
  <sheetData>
    <row r="1" spans="1:16" ht="15.75" customHeight="1" x14ac:dyDescent="0.25">
      <c r="A1" s="7" t="s">
        <v>19</v>
      </c>
      <c r="B1" s="7" t="s">
        <v>20</v>
      </c>
      <c r="C1" s="9" t="s">
        <v>21</v>
      </c>
      <c r="D1" s="15" t="s">
        <v>22</v>
      </c>
      <c r="E1" s="7" t="s">
        <v>23</v>
      </c>
      <c r="F1" s="7" t="s">
        <v>24</v>
      </c>
      <c r="G1" s="22" t="s">
        <v>154</v>
      </c>
      <c r="H1" s="17" t="s">
        <v>117</v>
      </c>
      <c r="I1" s="7" t="s">
        <v>118</v>
      </c>
      <c r="J1" s="7" t="s">
        <v>116</v>
      </c>
      <c r="K1" s="7" t="s">
        <v>119</v>
      </c>
    </row>
    <row r="2" spans="1:16" ht="15.75" customHeight="1" x14ac:dyDescent="0.25">
      <c r="A2" t="s">
        <v>25</v>
      </c>
      <c r="B2" t="s">
        <v>26</v>
      </c>
      <c r="C2" t="s">
        <v>27</v>
      </c>
      <c r="D2" s="16">
        <v>1000</v>
      </c>
      <c r="E2">
        <v>30</v>
      </c>
      <c r="F2" t="s">
        <v>28</v>
      </c>
      <c r="G2" t="str">
        <f t="shared" ref="G2:G32" si="0">TRIM(CLEAN(B2))</f>
        <v>laptop</v>
      </c>
      <c r="H2" s="18">
        <v>28</v>
      </c>
      <c r="I2" t="s">
        <v>123</v>
      </c>
      <c r="J2" t="s">
        <v>124</v>
      </c>
      <c r="K2" t="str">
        <f>_xlfn.CONCAT(C2,"-",B2)</f>
        <v>Dell-laptop</v>
      </c>
    </row>
    <row r="3" spans="1:16" ht="15.75" customHeight="1" x14ac:dyDescent="0.25">
      <c r="A3" t="s">
        <v>29</v>
      </c>
      <c r="B3" t="s">
        <v>30</v>
      </c>
      <c r="C3" t="s">
        <v>31</v>
      </c>
      <c r="D3" s="16">
        <v>80</v>
      </c>
      <c r="E3">
        <v>15</v>
      </c>
      <c r="F3" t="s">
        <v>32</v>
      </c>
      <c r="G3" t="str">
        <f t="shared" si="0"/>
        <v>Sneakers</v>
      </c>
      <c r="H3" s="18">
        <v>15</v>
      </c>
      <c r="I3" t="s">
        <v>125</v>
      </c>
      <c r="J3" t="s">
        <v>124</v>
      </c>
      <c r="K3" t="str">
        <f t="shared" ref="K3:K32" si="1">_xlfn.CONCAT(C3,"-",B3)</f>
        <v>Nike-Sneakers</v>
      </c>
      <c r="L3" s="5"/>
      <c r="M3" s="5"/>
      <c r="N3" s="5"/>
      <c r="O3" s="5"/>
      <c r="P3" s="5"/>
    </row>
    <row r="4" spans="1:16" ht="15.75" customHeight="1" x14ac:dyDescent="0.25">
      <c r="A4" t="s">
        <v>33</v>
      </c>
      <c r="B4" t="s">
        <v>34</v>
      </c>
      <c r="C4" t="s">
        <v>35</v>
      </c>
      <c r="D4" s="16">
        <v>130</v>
      </c>
      <c r="E4">
        <v>40</v>
      </c>
      <c r="F4" t="s">
        <v>36</v>
      </c>
      <c r="G4" t="str">
        <f t="shared" si="0"/>
        <v>Coffee Maker</v>
      </c>
      <c r="H4" s="18">
        <v>3</v>
      </c>
      <c r="I4" t="s">
        <v>126</v>
      </c>
      <c r="J4" t="s">
        <v>124</v>
      </c>
      <c r="K4" t="str">
        <f t="shared" si="1"/>
        <v>Keurig-Coffee Maker</v>
      </c>
      <c r="L4" s="5"/>
      <c r="M4" s="5"/>
      <c r="N4" s="5"/>
      <c r="O4" s="5"/>
      <c r="P4" s="5"/>
    </row>
    <row r="5" spans="1:16" ht="15.75" customHeight="1" x14ac:dyDescent="0.25">
      <c r="A5" t="s">
        <v>37</v>
      </c>
      <c r="B5" t="s">
        <v>38</v>
      </c>
      <c r="C5" t="s">
        <v>39</v>
      </c>
      <c r="D5" s="16">
        <v>900</v>
      </c>
      <c r="E5">
        <v>25</v>
      </c>
      <c r="F5" t="s">
        <v>28</v>
      </c>
      <c r="G5" t="str">
        <f t="shared" si="0"/>
        <v>smartphone</v>
      </c>
      <c r="H5" s="18">
        <v>11</v>
      </c>
      <c r="I5" t="s">
        <v>127</v>
      </c>
      <c r="J5" t="s">
        <v>124</v>
      </c>
      <c r="K5" t="str">
        <f t="shared" si="1"/>
        <v>Samsung-smartphone</v>
      </c>
      <c r="L5" s="5"/>
      <c r="M5" s="5"/>
      <c r="N5" s="5"/>
      <c r="O5" s="5"/>
      <c r="P5" s="5"/>
    </row>
    <row r="6" spans="1:16" ht="15.75" customHeight="1" x14ac:dyDescent="0.25">
      <c r="A6" t="s">
        <v>40</v>
      </c>
      <c r="B6" t="s">
        <v>41</v>
      </c>
      <c r="C6" t="s">
        <v>42</v>
      </c>
      <c r="D6" s="16">
        <v>70</v>
      </c>
      <c r="E6">
        <v>20</v>
      </c>
      <c r="F6" s="23" t="s">
        <v>157</v>
      </c>
      <c r="G6" s="24" t="str">
        <f>TRIM(CLEAN(B6))</f>
        <v>Backpack</v>
      </c>
      <c r="H6" s="18">
        <v>22</v>
      </c>
      <c r="I6" t="s">
        <v>128</v>
      </c>
      <c r="J6" t="s">
        <v>124</v>
      </c>
      <c r="K6" t="str">
        <f t="shared" si="1"/>
        <v>North Face-Backpack</v>
      </c>
    </row>
    <row r="7" spans="1:16" ht="15.75" customHeight="1" x14ac:dyDescent="0.25">
      <c r="A7" t="s">
        <v>43</v>
      </c>
      <c r="B7" t="s">
        <v>44</v>
      </c>
      <c r="C7" t="s">
        <v>45</v>
      </c>
      <c r="D7" s="21">
        <f>AVERAGE(D16,D29)</f>
        <v>145</v>
      </c>
      <c r="E7">
        <v>45</v>
      </c>
      <c r="F7" s="10" t="s">
        <v>28</v>
      </c>
      <c r="G7" t="str">
        <f t="shared" si="0"/>
        <v>Headphones</v>
      </c>
      <c r="H7" s="18">
        <v>7</v>
      </c>
      <c r="I7" t="s">
        <v>129</v>
      </c>
      <c r="J7" t="s">
        <v>130</v>
      </c>
      <c r="K7" t="str">
        <f t="shared" si="1"/>
        <v>Sony-Headphones</v>
      </c>
    </row>
    <row r="8" spans="1:16" ht="15.75" customHeight="1" x14ac:dyDescent="0.25">
      <c r="A8" t="s">
        <v>47</v>
      </c>
      <c r="B8" t="s">
        <v>48</v>
      </c>
      <c r="C8" t="s">
        <v>49</v>
      </c>
      <c r="D8" s="16">
        <v>30</v>
      </c>
      <c r="E8">
        <v>5</v>
      </c>
      <c r="F8" t="s">
        <v>32</v>
      </c>
      <c r="G8" t="str">
        <f t="shared" si="0"/>
        <v>T-shirt</v>
      </c>
      <c r="H8" s="18">
        <v>19</v>
      </c>
      <c r="I8" t="s">
        <v>131</v>
      </c>
      <c r="J8" t="s">
        <v>130</v>
      </c>
      <c r="K8" t="str">
        <f t="shared" si="1"/>
        <v>Adidas-T-shirt</v>
      </c>
    </row>
    <row r="9" spans="1:16" ht="15.75" customHeight="1" x14ac:dyDescent="0.25">
      <c r="A9" t="s">
        <v>50</v>
      </c>
      <c r="B9" t="s">
        <v>51</v>
      </c>
      <c r="C9" t="s">
        <v>52</v>
      </c>
      <c r="D9" s="16">
        <v>90</v>
      </c>
      <c r="E9">
        <v>35</v>
      </c>
      <c r="F9" t="s">
        <v>36</v>
      </c>
      <c r="G9" t="str">
        <f t="shared" si="0"/>
        <v>Blender</v>
      </c>
      <c r="H9" s="18">
        <v>23</v>
      </c>
      <c r="I9" t="s">
        <v>132</v>
      </c>
      <c r="J9" t="s">
        <v>130</v>
      </c>
      <c r="K9" t="str">
        <f t="shared" si="1"/>
        <v>Ninja-Blender</v>
      </c>
    </row>
    <row r="10" spans="1:16" ht="15.75" customHeight="1" x14ac:dyDescent="0.25">
      <c r="A10" t="s">
        <v>53</v>
      </c>
      <c r="B10" t="s">
        <v>54</v>
      </c>
      <c r="C10" t="s">
        <v>55</v>
      </c>
      <c r="D10" s="16">
        <v>500</v>
      </c>
      <c r="E10">
        <v>50</v>
      </c>
      <c r="F10" t="s">
        <v>28</v>
      </c>
      <c r="G10" t="str">
        <f t="shared" si="0"/>
        <v>Tablet</v>
      </c>
      <c r="H10" s="18">
        <v>5</v>
      </c>
      <c r="I10" t="s">
        <v>133</v>
      </c>
      <c r="J10" t="s">
        <v>130</v>
      </c>
      <c r="K10" t="str">
        <f t="shared" si="1"/>
        <v>Apple-Tablet</v>
      </c>
    </row>
    <row r="11" spans="1:16" ht="15.75" customHeight="1" x14ac:dyDescent="0.25">
      <c r="A11" t="s">
        <v>56</v>
      </c>
      <c r="B11" t="s">
        <v>57</v>
      </c>
      <c r="C11" t="s">
        <v>58</v>
      </c>
      <c r="D11" s="16">
        <v>130</v>
      </c>
      <c r="E11">
        <v>10</v>
      </c>
      <c r="F11" t="s">
        <v>59</v>
      </c>
      <c r="G11" t="str">
        <f t="shared" si="0"/>
        <v>Hiking Boots</v>
      </c>
      <c r="H11" s="18">
        <v>14</v>
      </c>
      <c r="I11" t="s">
        <v>134</v>
      </c>
      <c r="J11" t="s">
        <v>130</v>
      </c>
      <c r="K11" t="str">
        <f t="shared" si="1"/>
        <v>Timberland-Hiking Boots</v>
      </c>
    </row>
    <row r="12" spans="1:16" ht="15.75" customHeight="1" x14ac:dyDescent="0.25">
      <c r="A12" t="s">
        <v>60</v>
      </c>
      <c r="B12" t="s">
        <v>61</v>
      </c>
      <c r="C12" t="s">
        <v>62</v>
      </c>
      <c r="D12" s="16">
        <v>950</v>
      </c>
      <c r="E12">
        <v>25</v>
      </c>
      <c r="F12" t="s">
        <v>28</v>
      </c>
      <c r="G12" t="str">
        <f t="shared" si="0"/>
        <v>Laptop</v>
      </c>
      <c r="H12" s="18">
        <v>17</v>
      </c>
      <c r="I12" t="s">
        <v>129</v>
      </c>
      <c r="J12" t="s">
        <v>135</v>
      </c>
      <c r="K12" t="str">
        <f t="shared" si="1"/>
        <v>HP-Laptop</v>
      </c>
    </row>
    <row r="13" spans="1:16" ht="15.75" customHeight="1" x14ac:dyDescent="0.25">
      <c r="A13" t="s">
        <v>63</v>
      </c>
      <c r="B13" t="s">
        <v>30</v>
      </c>
      <c r="C13" t="s">
        <v>49</v>
      </c>
      <c r="D13" s="16">
        <v>90</v>
      </c>
      <c r="E13">
        <v>40</v>
      </c>
      <c r="F13" s="23" t="s">
        <v>157</v>
      </c>
      <c r="G13" s="24" t="str">
        <f t="shared" si="0"/>
        <v>Sneakers</v>
      </c>
      <c r="H13" s="18">
        <v>25</v>
      </c>
      <c r="I13" t="s">
        <v>136</v>
      </c>
      <c r="J13" t="s">
        <v>137</v>
      </c>
      <c r="K13" t="str">
        <f t="shared" si="1"/>
        <v>Adidas-Sneakers</v>
      </c>
    </row>
    <row r="14" spans="1:16" ht="15.75" customHeight="1" x14ac:dyDescent="0.25">
      <c r="A14" t="s">
        <v>64</v>
      </c>
      <c r="B14" t="s">
        <v>34</v>
      </c>
      <c r="C14" t="s">
        <v>65</v>
      </c>
      <c r="D14" s="16">
        <v>120</v>
      </c>
      <c r="E14">
        <v>35</v>
      </c>
      <c r="F14" s="23" t="s">
        <v>157</v>
      </c>
      <c r="G14" s="24" t="str">
        <f t="shared" si="0"/>
        <v>Coffee Maker</v>
      </c>
      <c r="H14" s="18">
        <v>8</v>
      </c>
      <c r="I14" t="s">
        <v>138</v>
      </c>
      <c r="J14" t="s">
        <v>139</v>
      </c>
      <c r="K14" t="str">
        <f t="shared" si="1"/>
        <v>Nespresso-Coffee Maker</v>
      </c>
    </row>
    <row r="15" spans="1:16" ht="15.75" customHeight="1" x14ac:dyDescent="0.25">
      <c r="A15" t="s">
        <v>66</v>
      </c>
      <c r="B15" t="s">
        <v>67</v>
      </c>
      <c r="C15" t="s">
        <v>68</v>
      </c>
      <c r="D15" s="16">
        <v>150</v>
      </c>
      <c r="E15">
        <v>15</v>
      </c>
      <c r="F15" t="s">
        <v>28</v>
      </c>
      <c r="G15" t="str">
        <f t="shared" si="0"/>
        <v>Smartwatch</v>
      </c>
      <c r="H15" s="18">
        <v>18</v>
      </c>
      <c r="I15" t="s">
        <v>125</v>
      </c>
      <c r="J15" t="s">
        <v>140</v>
      </c>
      <c r="K15" t="str">
        <f t="shared" si="1"/>
        <v>Fitbit-Smartwatch</v>
      </c>
    </row>
    <row r="16" spans="1:16" ht="15.75" customHeight="1" x14ac:dyDescent="0.25">
      <c r="A16" t="s">
        <v>69</v>
      </c>
      <c r="B16" t="s">
        <v>70</v>
      </c>
      <c r="C16" t="s">
        <v>71</v>
      </c>
      <c r="D16" s="16">
        <v>250</v>
      </c>
      <c r="E16">
        <v>20</v>
      </c>
      <c r="F16" t="s">
        <v>28</v>
      </c>
      <c r="G16" t="str">
        <f t="shared" si="0"/>
        <v>headphones</v>
      </c>
      <c r="H16" s="18">
        <v>16</v>
      </c>
      <c r="I16" t="s">
        <v>127</v>
      </c>
      <c r="J16" t="s">
        <v>141</v>
      </c>
      <c r="K16" t="str">
        <f t="shared" si="1"/>
        <v>Bose-headphones</v>
      </c>
    </row>
    <row r="17" spans="1:11" ht="15.75" customHeight="1" x14ac:dyDescent="0.25">
      <c r="A17" t="s">
        <v>72</v>
      </c>
      <c r="B17" t="s">
        <v>73</v>
      </c>
      <c r="C17" t="s">
        <v>74</v>
      </c>
      <c r="D17" s="16">
        <v>50</v>
      </c>
      <c r="E17">
        <v>35</v>
      </c>
      <c r="F17" t="s">
        <v>75</v>
      </c>
      <c r="G17" t="str">
        <f t="shared" si="0"/>
        <v>Laptop Bag</v>
      </c>
      <c r="H17" s="18">
        <v>21</v>
      </c>
      <c r="I17" t="s">
        <v>132</v>
      </c>
      <c r="J17" t="s">
        <v>140</v>
      </c>
      <c r="K17" t="str">
        <f t="shared" si="1"/>
        <v>Samsonite-Laptop Bag</v>
      </c>
    </row>
    <row r="18" spans="1:11" ht="15.75" customHeight="1" x14ac:dyDescent="0.25">
      <c r="A18" t="s">
        <v>76</v>
      </c>
      <c r="B18" t="s">
        <v>67</v>
      </c>
      <c r="C18" t="s">
        <v>77</v>
      </c>
      <c r="D18" s="16">
        <v>160</v>
      </c>
      <c r="E18">
        <v>15</v>
      </c>
      <c r="F18" t="s">
        <v>28</v>
      </c>
      <c r="G18" t="str">
        <f t="shared" si="0"/>
        <v>Smartwatch</v>
      </c>
      <c r="H18" s="18">
        <v>20</v>
      </c>
      <c r="I18" t="s">
        <v>132</v>
      </c>
      <c r="J18" t="s">
        <v>142</v>
      </c>
      <c r="K18" t="str">
        <f t="shared" si="1"/>
        <v>Huawei-Smartwatch</v>
      </c>
    </row>
    <row r="19" spans="1:11" ht="15.75" customHeight="1" x14ac:dyDescent="0.25">
      <c r="A19" t="s">
        <v>78</v>
      </c>
      <c r="B19" t="s">
        <v>26</v>
      </c>
      <c r="C19" t="s">
        <v>79</v>
      </c>
      <c r="D19" s="16">
        <v>980</v>
      </c>
      <c r="E19">
        <v>10</v>
      </c>
      <c r="F19" t="s">
        <v>28</v>
      </c>
      <c r="G19" t="str">
        <f t="shared" si="0"/>
        <v>laptop</v>
      </c>
      <c r="H19" s="18">
        <v>27</v>
      </c>
      <c r="I19" t="s">
        <v>123</v>
      </c>
      <c r="J19" t="s">
        <v>143</v>
      </c>
      <c r="K19" t="str">
        <f t="shared" si="1"/>
        <v>Asus-laptop</v>
      </c>
    </row>
    <row r="20" spans="1:11" ht="15.75" customHeight="1" x14ac:dyDescent="0.25">
      <c r="A20" t="s">
        <v>80</v>
      </c>
      <c r="B20" t="s">
        <v>81</v>
      </c>
      <c r="C20" t="s">
        <v>82</v>
      </c>
      <c r="D20" s="16">
        <v>150</v>
      </c>
      <c r="E20">
        <v>15</v>
      </c>
      <c r="F20" t="s">
        <v>32</v>
      </c>
      <c r="G20" t="str">
        <f t="shared" si="0"/>
        <v>Sunglasses</v>
      </c>
      <c r="H20" s="18">
        <v>1</v>
      </c>
      <c r="I20" t="s">
        <v>126</v>
      </c>
      <c r="J20" t="s">
        <v>130</v>
      </c>
      <c r="K20" t="str">
        <f t="shared" si="1"/>
        <v>Oakley-Sunglasses</v>
      </c>
    </row>
    <row r="21" spans="1:11" ht="15.75" customHeight="1" x14ac:dyDescent="0.25">
      <c r="A21" t="s">
        <v>83</v>
      </c>
      <c r="B21" t="s">
        <v>84</v>
      </c>
      <c r="C21" t="s">
        <v>85</v>
      </c>
      <c r="E21">
        <v>10</v>
      </c>
      <c r="F21" t="s">
        <v>59</v>
      </c>
      <c r="G21" t="str">
        <f t="shared" si="0"/>
        <v>Camping Tent</v>
      </c>
      <c r="H21" s="18">
        <v>14</v>
      </c>
      <c r="I21" t="s">
        <v>132</v>
      </c>
      <c r="J21" t="s">
        <v>124</v>
      </c>
      <c r="K21" t="str">
        <f t="shared" si="1"/>
        <v>Coleman-Camping Tent</v>
      </c>
    </row>
    <row r="22" spans="1:11" ht="15.75" customHeight="1" x14ac:dyDescent="0.25">
      <c r="A22" t="s">
        <v>86</v>
      </c>
      <c r="B22" t="s">
        <v>87</v>
      </c>
      <c r="C22" t="s">
        <v>88</v>
      </c>
      <c r="D22" s="16">
        <v>700</v>
      </c>
      <c r="E22">
        <v>50</v>
      </c>
      <c r="F22" t="s">
        <v>28</v>
      </c>
      <c r="G22" t="str">
        <f t="shared" si="0"/>
        <v>Camera</v>
      </c>
      <c r="H22" s="18">
        <v>14</v>
      </c>
      <c r="I22" t="s">
        <v>128</v>
      </c>
      <c r="J22" t="s">
        <v>144</v>
      </c>
      <c r="K22" t="str">
        <f t="shared" si="1"/>
        <v>Nikon-Camera</v>
      </c>
    </row>
    <row r="23" spans="1:11" ht="15.75" customHeight="1" x14ac:dyDescent="0.25">
      <c r="A23" t="s">
        <v>89</v>
      </c>
      <c r="B23" t="s">
        <v>90</v>
      </c>
      <c r="C23" t="s">
        <v>91</v>
      </c>
      <c r="D23" s="16">
        <v>80</v>
      </c>
      <c r="E23">
        <v>20</v>
      </c>
      <c r="F23" t="s">
        <v>36</v>
      </c>
      <c r="G23" t="str">
        <f t="shared" si="0"/>
        <v>Microwave</v>
      </c>
      <c r="H23" s="18">
        <v>9</v>
      </c>
      <c r="I23" t="s">
        <v>123</v>
      </c>
      <c r="J23" t="s">
        <v>140</v>
      </c>
      <c r="K23" t="str">
        <f t="shared" si="1"/>
        <v>Panasonic-Microwave</v>
      </c>
    </row>
    <row r="24" spans="1:11" ht="15.75" customHeight="1" x14ac:dyDescent="0.25">
      <c r="A24" t="s">
        <v>92</v>
      </c>
      <c r="B24" t="s">
        <v>93</v>
      </c>
      <c r="C24" t="s">
        <v>94</v>
      </c>
      <c r="D24" s="16">
        <v>150</v>
      </c>
      <c r="E24">
        <v>30</v>
      </c>
      <c r="F24" s="23" t="s">
        <v>157</v>
      </c>
      <c r="G24" s="24" t="str">
        <f t="shared" si="0"/>
        <v>Fitness Tracker</v>
      </c>
      <c r="H24" s="18">
        <v>19</v>
      </c>
      <c r="I24" t="s">
        <v>131</v>
      </c>
      <c r="J24" t="s">
        <v>145</v>
      </c>
      <c r="K24" t="str">
        <f t="shared" si="1"/>
        <v>Xiaomi-Fitness Tracker</v>
      </c>
    </row>
    <row r="25" spans="1:11" ht="15.75" customHeight="1" x14ac:dyDescent="0.25">
      <c r="A25" t="s">
        <v>95</v>
      </c>
      <c r="B25" t="s">
        <v>96</v>
      </c>
      <c r="C25" t="s">
        <v>97</v>
      </c>
      <c r="D25" s="16">
        <v>800</v>
      </c>
      <c r="E25">
        <v>45</v>
      </c>
      <c r="F25" t="s">
        <v>28</v>
      </c>
      <c r="G25" t="str">
        <f t="shared" si="0"/>
        <v>Smartphone</v>
      </c>
      <c r="H25" s="18">
        <v>29</v>
      </c>
      <c r="I25" t="s">
        <v>133</v>
      </c>
      <c r="J25" t="s">
        <v>140</v>
      </c>
      <c r="K25" t="str">
        <f t="shared" si="1"/>
        <v>Google-Smartphone</v>
      </c>
    </row>
    <row r="26" spans="1:11" ht="15.75" customHeight="1" x14ac:dyDescent="0.25">
      <c r="A26" t="s">
        <v>98</v>
      </c>
      <c r="B26" t="s">
        <v>81</v>
      </c>
      <c r="C26" t="s">
        <v>99</v>
      </c>
      <c r="E26">
        <v>25</v>
      </c>
      <c r="F26" t="s">
        <v>32</v>
      </c>
      <c r="G26" t="str">
        <f t="shared" si="0"/>
        <v>Sunglasses</v>
      </c>
      <c r="H26" s="18">
        <v>3</v>
      </c>
      <c r="I26" t="s">
        <v>129</v>
      </c>
      <c r="J26" t="s">
        <v>140</v>
      </c>
      <c r="K26" t="str">
        <f t="shared" si="1"/>
        <v>Ray-Ban-Sunglasses</v>
      </c>
    </row>
    <row r="27" spans="1:11" ht="15.75" customHeight="1" x14ac:dyDescent="0.25">
      <c r="A27" t="s">
        <v>100</v>
      </c>
      <c r="B27" t="s">
        <v>51</v>
      </c>
      <c r="C27" t="s">
        <v>101</v>
      </c>
      <c r="D27" s="16">
        <v>400</v>
      </c>
      <c r="E27">
        <v>40</v>
      </c>
      <c r="F27" t="s">
        <v>36</v>
      </c>
      <c r="G27" t="str">
        <f t="shared" si="0"/>
        <v>Blender</v>
      </c>
      <c r="H27" s="18">
        <v>11</v>
      </c>
      <c r="I27" t="s">
        <v>131</v>
      </c>
      <c r="J27" t="s">
        <v>140</v>
      </c>
      <c r="K27" t="str">
        <f t="shared" si="1"/>
        <v>Vitamix-Blender</v>
      </c>
    </row>
    <row r="28" spans="1:11" ht="15.75" customHeight="1" x14ac:dyDescent="0.25">
      <c r="A28" t="s">
        <v>102</v>
      </c>
      <c r="B28" t="s">
        <v>103</v>
      </c>
      <c r="C28" t="s">
        <v>104</v>
      </c>
      <c r="D28" s="16">
        <v>60</v>
      </c>
      <c r="E28">
        <v>30</v>
      </c>
      <c r="F28" t="s">
        <v>32</v>
      </c>
      <c r="G28" t="str">
        <f t="shared" si="0"/>
        <v>Dress</v>
      </c>
      <c r="H28" s="18">
        <v>7</v>
      </c>
      <c r="I28" t="s">
        <v>126</v>
      </c>
      <c r="J28" t="s">
        <v>140</v>
      </c>
      <c r="K28" t="str">
        <f t="shared" si="1"/>
        <v>Zara-Dress</v>
      </c>
    </row>
    <row r="29" spans="1:11" ht="15.75" customHeight="1" x14ac:dyDescent="0.25">
      <c r="A29" t="s">
        <v>105</v>
      </c>
      <c r="B29" t="s">
        <v>106</v>
      </c>
      <c r="C29" t="s">
        <v>107</v>
      </c>
      <c r="D29" s="16">
        <v>40</v>
      </c>
      <c r="E29">
        <v>10</v>
      </c>
      <c r="F29" t="s">
        <v>36</v>
      </c>
      <c r="G29" t="str">
        <f t="shared" si="0"/>
        <v>Toaster</v>
      </c>
      <c r="H29" s="18">
        <v>13</v>
      </c>
      <c r="I29" t="s">
        <v>127</v>
      </c>
      <c r="J29" t="s">
        <v>140</v>
      </c>
      <c r="K29" t="str">
        <f t="shared" si="1"/>
        <v>Hamilton-Toaster</v>
      </c>
    </row>
    <row r="30" spans="1:11" ht="15.75" customHeight="1" x14ac:dyDescent="0.25">
      <c r="A30" t="s">
        <v>108</v>
      </c>
      <c r="B30" t="s">
        <v>93</v>
      </c>
      <c r="C30" t="s">
        <v>109</v>
      </c>
      <c r="D30" s="16">
        <v>130</v>
      </c>
      <c r="E30">
        <v>5</v>
      </c>
      <c r="F30" s="10" t="s">
        <v>28</v>
      </c>
      <c r="G30" t="str">
        <f t="shared" si="0"/>
        <v>Fitness Tracker</v>
      </c>
      <c r="H30" s="18">
        <v>24</v>
      </c>
      <c r="I30" t="s">
        <v>128</v>
      </c>
      <c r="J30" t="s">
        <v>140</v>
      </c>
      <c r="K30" t="str">
        <f t="shared" si="1"/>
        <v>Garmin-Fitness Tracker</v>
      </c>
    </row>
    <row r="31" spans="1:11" ht="15.75" customHeight="1" x14ac:dyDescent="0.25">
      <c r="A31" t="s">
        <v>110</v>
      </c>
      <c r="B31" t="s">
        <v>111</v>
      </c>
      <c r="C31" t="s">
        <v>112</v>
      </c>
      <c r="D31" s="16">
        <v>50</v>
      </c>
      <c r="E31">
        <v>50</v>
      </c>
      <c r="F31" t="s">
        <v>32</v>
      </c>
      <c r="G31" t="str">
        <f t="shared" si="0"/>
        <v>Jeans</v>
      </c>
      <c r="H31" s="18">
        <v>2</v>
      </c>
      <c r="I31" t="s">
        <v>138</v>
      </c>
      <c r="J31" t="s">
        <v>140</v>
      </c>
      <c r="K31" t="str">
        <f t="shared" si="1"/>
        <v>Levi's-Jeans</v>
      </c>
    </row>
    <row r="32" spans="1:11" ht="15.75" customHeight="1" x14ac:dyDescent="0.25">
      <c r="A32" t="s">
        <v>113</v>
      </c>
      <c r="B32" t="s">
        <v>114</v>
      </c>
      <c r="C32" t="s">
        <v>115</v>
      </c>
      <c r="D32" s="16">
        <v>100</v>
      </c>
      <c r="E32">
        <v>20</v>
      </c>
      <c r="F32" t="s">
        <v>75</v>
      </c>
      <c r="G32" t="str">
        <f t="shared" si="0"/>
        <v>Watch</v>
      </c>
      <c r="H32" s="18">
        <v>9</v>
      </c>
      <c r="I32" t="s">
        <v>131</v>
      </c>
      <c r="J32" t="s">
        <v>146</v>
      </c>
      <c r="K32" t="str">
        <f t="shared" si="1"/>
        <v>Casio-Watch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P35" xr:uid="{1B3FDF4E-9827-4279-8C95-38F2C8F1A5C7}"/>
  <conditionalFormatting sqref="A1:K1">
    <cfRule type="duplicateValues" dxfId="6" priority="7"/>
  </conditionalFormatting>
  <conditionalFormatting sqref="D2:D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{E73E8A17-610E-49EE-BAE8-96A6EE6B0ECE}</x14:id>
        </ext>
      </extLst>
    </cfRule>
  </conditionalFormatting>
  <conditionalFormatting sqref="D33:D1048576 D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{E2A7FEAC-0E79-4711-8732-27B4FCD4B30C}</x14:id>
        </ext>
      </extLst>
    </cfRule>
  </conditionalFormatting>
  <conditionalFormatting sqref="F1:F1048576">
    <cfRule type="containsText" dxfId="5" priority="2" operator="containsText" text="Electronics">
      <formula>NOT(ISERROR(SEARCH("Electronics",F1)))</formula>
    </cfRule>
    <cfRule type="containsText" dxfId="4" priority="3" operator="containsText" text="&quot;Electronics&quot;">
      <formula>NOT(ISERROR(SEARCH("""Electronics""",F1)))</formula>
    </cfRule>
    <cfRule type="colorScale" priority="4">
      <colorScale>
        <cfvo type="min"/>
        <cfvo type="max"/>
        <color rgb="FFFF7128"/>
        <color rgb="FFFFEF9C"/>
      </colorScale>
    </cfRule>
  </conditionalFormatting>
  <conditionalFormatting sqref="D1:D104857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{181C24FA-951B-4AF3-9F8F-0D3B1B2598FA}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3E8A17-610E-49EE-BAE8-96A6EE6B0E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  <x14:conditionalFormatting xmlns:xm="http://schemas.microsoft.com/office/excel/2006/main">
          <x14:cfRule type="dataBar" id="{E2A7FEAC-0E79-4711-8732-27B4FCD4B3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D33:D1048576 D1</xm:sqref>
        </x14:conditionalFormatting>
        <x14:conditionalFormatting xmlns:xm="http://schemas.microsoft.com/office/excel/2006/main">
          <x14:cfRule type="dataBar" id="{181C24FA-951B-4AF3-9F8F-0D3B1B2598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Instructions-Answers ref</vt:lpstr>
      <vt:lpstr>Dataset-Answers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Aby</dc:creator>
  <cp:lastModifiedBy>Aby Nisha</cp:lastModifiedBy>
  <dcterms:created xsi:type="dcterms:W3CDTF">2026-10-19T16:11:04Z</dcterms:created>
  <dcterms:modified xsi:type="dcterms:W3CDTF">2026-10-22T01:10:14Z</dcterms:modified>
</cp:coreProperties>
</file>